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_A" sheetId="1" state="visible" r:id="rId1"/>
    <sheet xmlns:r="http://schemas.openxmlformats.org/officeDocument/2006/relationships" name="Vendor_B" sheetId="2" state="visible" r:id="rId2"/>
    <sheet xmlns:r="http://schemas.openxmlformats.org/officeDocument/2006/relationships" name="Vendor_C" sheetId="3" state="visible" r:id="rId3"/>
    <sheet xmlns:r="http://schemas.openxmlformats.org/officeDocument/2006/relationships" name="Product_BO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VendorA" displayName="tblVendorA" ref="A1:C6" headerRowCount="1">
  <autoFilter ref="A1:C6"/>
  <tableColumns count="3">
    <tableColumn id="1" name="Part_ID"/>
    <tableColumn id="2" name="Part_Name"/>
    <tableColumn id="3" name="Unit_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VendorB" displayName="tblVendorB" ref="A1:C6" headerRowCount="1">
  <autoFilter ref="A1:C6"/>
  <tableColumns count="3">
    <tableColumn id="1" name="Part_ID"/>
    <tableColumn id="2" name="Part_Name"/>
    <tableColumn id="3" name="Unit_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VendorC" displayName="tblVendorC" ref="A1:C6" headerRowCount="1">
  <autoFilter ref="A1:C6"/>
  <tableColumns count="3">
    <tableColumn id="1" name="Part_ID"/>
    <tableColumn id="2" name="Part_Name"/>
    <tableColumn id="3" name="Unit_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BOM" displayName="tblBOM" ref="A1:G40" headerRowCount="1">
  <autoFilter ref="A1:G40"/>
  <tableColumns count="7">
    <tableColumn id="1" name="Part_ID"/>
    <tableColumn id="2" name="Part_Name"/>
    <tableColumn id="3" name="Vendor"/>
    <tableColumn id="4" name="Qty_Per_Product"/>
    <tableColumn id="5" name="Total_Qty"/>
    <tableColumn id="6" name="Unit_Price"/>
    <tableColumn id="7" name="Total_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Part_ID</t>
        </is>
      </c>
      <c r="B1" s="1" t="inlineStr">
        <is>
          <t>Part_Name</t>
        </is>
      </c>
      <c r="C1" s="1" t="inlineStr">
        <is>
          <t>Unit_Price</t>
        </is>
      </c>
    </row>
    <row r="2">
      <c r="A2" t="inlineStr">
        <is>
          <t>P001</t>
        </is>
      </c>
      <c r="B2" t="inlineStr">
        <is>
          <t>Stepper motor NEMA 17</t>
        </is>
      </c>
      <c r="C2" s="2" t="n">
        <v>24.5</v>
      </c>
    </row>
    <row r="3">
      <c r="A3" t="inlineStr">
        <is>
          <t>P002</t>
        </is>
      </c>
      <c r="B3" t="inlineStr">
        <is>
          <t>Main PCB rev C</t>
        </is>
      </c>
      <c r="C3" s="2" t="n">
        <v>18</v>
      </c>
    </row>
    <row r="4">
      <c r="A4" t="inlineStr">
        <is>
          <t>P003</t>
        </is>
      </c>
      <c r="B4" t="inlineStr">
        <is>
          <t>M3x12 screw (100 pk)</t>
        </is>
      </c>
      <c r="C4" s="2" t="n">
        <v>4.2</v>
      </c>
    </row>
    <row r="5">
      <c r="A5" t="inlineStr">
        <is>
          <t>P004</t>
        </is>
      </c>
      <c r="B5" t="inlineStr">
        <is>
          <t>Aluminum bracket</t>
        </is>
      </c>
      <c r="C5" s="2" t="n">
        <v>6.75</v>
      </c>
    </row>
    <row r="6">
      <c r="A6" t="inlineStr">
        <is>
          <t>P005</t>
        </is>
      </c>
      <c r="B6" t="inlineStr">
        <is>
          <t>Power cable 1m</t>
        </is>
      </c>
      <c r="C6" s="2" t="n">
        <v>3.1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Part_ID</t>
        </is>
      </c>
      <c r="B1" s="1" t="inlineStr">
        <is>
          <t>Part_Name</t>
        </is>
      </c>
      <c r="C1" s="1" t="inlineStr">
        <is>
          <t>Unit_Price</t>
        </is>
      </c>
    </row>
    <row r="2">
      <c r="A2" t="inlineStr">
        <is>
          <t>P001</t>
        </is>
      </c>
      <c r="B2" t="inlineStr">
        <is>
          <t>Stepper motor NEMA 17</t>
        </is>
      </c>
      <c r="C2" s="2" t="n">
        <v>22.9</v>
      </c>
    </row>
    <row r="3">
      <c r="A3" t="inlineStr">
        <is>
          <t>P002</t>
        </is>
      </c>
      <c r="B3" t="inlineStr">
        <is>
          <t>Main PCB rev C</t>
        </is>
      </c>
      <c r="C3" s="2" t="n">
        <v>19.5</v>
      </c>
    </row>
    <row r="4">
      <c r="A4" t="inlineStr">
        <is>
          <t>P006</t>
        </is>
      </c>
      <c r="B4" t="inlineStr">
        <is>
          <t>Timing belt GT2 1m</t>
        </is>
      </c>
      <c r="C4" s="2" t="n">
        <v>7.4</v>
      </c>
    </row>
    <row r="5">
      <c r="A5" t="inlineStr">
        <is>
          <t>P007</t>
        </is>
      </c>
      <c r="B5" t="inlineStr">
        <is>
          <t>Idler pulley</t>
        </is>
      </c>
      <c r="C5" s="2" t="n">
        <v>2.15</v>
      </c>
    </row>
    <row r="6">
      <c r="A6" t="inlineStr">
        <is>
          <t>P008</t>
        </is>
      </c>
      <c r="B6" t="inlineStr">
        <is>
          <t>Rubber feet (set)</t>
        </is>
      </c>
      <c r="C6" s="2" t="n">
        <v>1.8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Part_ID</t>
        </is>
      </c>
      <c r="B1" s="1" t="inlineStr">
        <is>
          <t>Part_Name</t>
        </is>
      </c>
      <c r="C1" s="1" t="inlineStr">
        <is>
          <t>Unit_Price</t>
        </is>
      </c>
    </row>
    <row r="2">
      <c r="A2" t="inlineStr">
        <is>
          <t>P001</t>
        </is>
      </c>
      <c r="B2" t="inlineStr">
        <is>
          <t>Stepper motor NEMA 17</t>
        </is>
      </c>
      <c r="C2" s="2" t="n">
        <v>26</v>
      </c>
    </row>
    <row r="3">
      <c r="A3" t="inlineStr">
        <is>
          <t>P003</t>
        </is>
      </c>
      <c r="B3" t="inlineStr">
        <is>
          <t>M3x12 screw (100 pk)</t>
        </is>
      </c>
      <c r="C3" s="2" t="n">
        <v>3.95</v>
      </c>
    </row>
    <row r="4">
      <c r="A4" t="inlineStr">
        <is>
          <t>P009</t>
        </is>
      </c>
      <c r="B4" t="inlineStr">
        <is>
          <t>USB-C breakout</t>
        </is>
      </c>
      <c r="C4" s="2" t="n">
        <v>5.5</v>
      </c>
    </row>
    <row r="5">
      <c r="A5" t="inlineStr">
        <is>
          <t>P010</t>
        </is>
      </c>
      <c r="B5" t="inlineStr">
        <is>
          <t>Heat-set inserts M3 (50)</t>
        </is>
      </c>
      <c r="C5" s="2" t="n">
        <v>8.25</v>
      </c>
    </row>
    <row r="6">
      <c r="A6" t="inlineStr">
        <is>
          <t>P011</t>
        </is>
      </c>
      <c r="B6" t="inlineStr">
        <is>
          <t>Acrylic panel 3mm</t>
        </is>
      </c>
      <c r="C6" s="2" t="n">
        <v>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8" customWidth="1" min="4" max="4"/>
    <col width="14" customWidth="1" min="5" max="5"/>
    <col width="14" customWidth="1" min="6" max="6"/>
    <col width="14" customWidth="1" min="7" max="7"/>
    <col width="16" customWidth="1" min="9" max="9"/>
  </cols>
  <sheetData>
    <row r="1">
      <c r="A1" s="1" t="inlineStr">
        <is>
          <t>Part_ID</t>
        </is>
      </c>
      <c r="B1" s="1" t="inlineStr">
        <is>
          <t>Part_Name</t>
        </is>
      </c>
      <c r="C1" s="1" t="inlineStr">
        <is>
          <t>Vendor</t>
        </is>
      </c>
      <c r="D1" s="1" t="inlineStr">
        <is>
          <t>Qty_Per_Product</t>
        </is>
      </c>
      <c r="E1" s="1" t="inlineStr">
        <is>
          <t>Total_Qty</t>
        </is>
      </c>
      <c r="F1" s="1" t="inlineStr">
        <is>
          <t>Unit_Price</t>
        </is>
      </c>
      <c r="G1" s="1" t="inlineStr">
        <is>
          <t>Total_Cost</t>
        </is>
      </c>
      <c r="I1" s="3" t="inlineStr">
        <is>
          <t>Units_to_build</t>
        </is>
      </c>
      <c r="K1" s="4" t="inlineStr">
        <is>
          <t>Set Units_to_build in I2. Add BOM lines inside the table only. Pick vendor in column C; unit price pulls from that vendor sheet by Part_ID.</t>
        </is>
      </c>
    </row>
    <row r="2">
      <c r="A2" t="inlineStr">
        <is>
          <t>P001</t>
        </is>
      </c>
      <c r="B2">
        <f>IF($A2="","",IF($C2="Vendor_A",IFERROR(VLOOKUP($A2,Vendor_A!$A:$C,2,FALSE),"-- not on vendor --"),IF($C2="Vendor_B",IFERROR(VLOOKUP($A2,Vendor_B!$A:$C,2,FALSE),"-- not on vendor --"),IF($C2="Vendor_C",IFERROR(VLOOKUP($A2,Vendor_C!$A:$C,2,FALSE),"-- not on vendor --"),"-- not on vendor --"))))</f>
      </c>
      <c r="C2" t="inlineStr">
        <is>
          <t>Vendor_A</t>
        </is>
      </c>
      <c r="D2" t="n">
        <v>2</v>
      </c>
      <c r="E2">
        <f>IF($A2="","",$D2*$I$2)</f>
      </c>
      <c r="F2" s="2">
        <f>IF($A2="","",IF($C2="Vendor_A",IFERROR(VLOOKUP($A2,Vendor_A!$A:$C,3,FALSE),""),IF($C2="Vendor_B",IFERROR(VLOOKUP($A2,Vendor_B!$A:$C,3,FALSE),""),IF($C2="Vendor_C",IFERROR(VLOOKUP($A2,Vendor_C!$A:$C,3,FALSE),""),""))))</f>
      </c>
      <c r="G2" s="2">
        <f>IF($A2="","",IF($F2="","",$E2*$F2))</f>
      </c>
      <c r="I2" s="5" t="n">
        <v>1</v>
      </c>
    </row>
    <row r="3">
      <c r="A3" t="inlineStr">
        <is>
          <t>P002</t>
        </is>
      </c>
      <c r="B3">
        <f>IF($A3="","",IF($C3="Vendor_A",IFERROR(VLOOKUP($A3,Vendor_A!$A:$C,2,FALSE),"-- not on vendor --"),IF($C3="Vendor_B",IFERROR(VLOOKUP($A3,Vendor_B!$A:$C,2,FALSE),"-- not on vendor --"),IF($C3="Vendor_C",IFERROR(VLOOKUP($A3,Vendor_C!$A:$C,2,FALSE),"-- not on vendor --"),"-- not on vendor --"))))</f>
      </c>
      <c r="C3" t="inlineStr">
        <is>
          <t>Vendor_B</t>
        </is>
      </c>
      <c r="D3" t="n">
        <v>1</v>
      </c>
      <c r="E3">
        <f>IF($A3="","",$D3*$I$2)</f>
      </c>
      <c r="F3" s="2">
        <f>IF($A3="","",IF($C3="Vendor_A",IFERROR(VLOOKUP($A3,Vendor_A!$A:$C,3,FALSE),""),IF($C3="Vendor_B",IFERROR(VLOOKUP($A3,Vendor_B!$A:$C,3,FALSE),""),IF($C3="Vendor_C",IFERROR(VLOOKUP($A3,Vendor_C!$A:$C,3,FALSE),""),""))))</f>
      </c>
      <c r="G3" s="2">
        <f>IF($A3="","",IF($F3="","",$E3*$F3))</f>
      </c>
    </row>
    <row r="4">
      <c r="A4" t="inlineStr">
        <is>
          <t>P003</t>
        </is>
      </c>
      <c r="B4">
        <f>IF($A4="","",IF($C4="Vendor_A",IFERROR(VLOOKUP($A4,Vendor_A!$A:$C,2,FALSE),"-- not on vendor --"),IF($C4="Vendor_B",IFERROR(VLOOKUP($A4,Vendor_B!$A:$C,2,FALSE),"-- not on vendor --"),IF($C4="Vendor_C",IFERROR(VLOOKUP($A4,Vendor_C!$A:$C,2,FALSE),"-- not on vendor --"),"-- not on vendor --"))))</f>
      </c>
      <c r="C4" t="inlineStr">
        <is>
          <t>Vendor_C</t>
        </is>
      </c>
      <c r="D4" t="n">
        <v>4</v>
      </c>
      <c r="E4">
        <f>IF($A4="","",$D4*$I$2)</f>
      </c>
      <c r="F4" s="2">
        <f>IF($A4="","",IF($C4="Vendor_A",IFERROR(VLOOKUP($A4,Vendor_A!$A:$C,3,FALSE),""),IF($C4="Vendor_B",IFERROR(VLOOKUP($A4,Vendor_B!$A:$C,3,FALSE),""),IF($C4="Vendor_C",IFERROR(VLOOKUP($A4,Vendor_C!$A:$C,3,FALSE),""),""))))</f>
      </c>
      <c r="G4" s="2">
        <f>IF($A4="","",IF($F4="","",$E4*$F4))</f>
      </c>
    </row>
    <row r="5">
      <c r="A5" t="inlineStr">
        <is>
          <t>P006</t>
        </is>
      </c>
      <c r="B5">
        <f>IF($A5="","",IF($C5="Vendor_A",IFERROR(VLOOKUP($A5,Vendor_A!$A:$C,2,FALSE),"-- not on vendor --"),IF($C5="Vendor_B",IFERROR(VLOOKUP($A5,Vendor_B!$A:$C,2,FALSE),"-- not on vendor --"),IF($C5="Vendor_C",IFERROR(VLOOKUP($A5,Vendor_C!$A:$C,2,FALSE),"-- not on vendor --"),"-- not on vendor --"))))</f>
      </c>
      <c r="C5" t="inlineStr">
        <is>
          <t>Vendor_B</t>
        </is>
      </c>
      <c r="D5" t="n">
        <v>1</v>
      </c>
      <c r="E5">
        <f>IF($A5="","",$D5*$I$2)</f>
      </c>
      <c r="F5" s="2">
        <f>IF($A5="","",IF($C5="Vendor_A",IFERROR(VLOOKUP($A5,Vendor_A!$A:$C,3,FALSE),""),IF($C5="Vendor_B",IFERROR(VLOOKUP($A5,Vendor_B!$A:$C,3,FALSE),""),IF($C5="Vendor_C",IFERROR(VLOOKUP($A5,Vendor_C!$A:$C,3,FALSE),""),""))))</f>
      </c>
      <c r="G5" s="2">
        <f>IF($A5="","",IF($F5="","",$E5*$F5))</f>
      </c>
    </row>
    <row r="6">
      <c r="B6">
        <f>IF($A6="","",IF($C6="Vendor_A",IFERROR(VLOOKUP($A6,Vendor_A!$A:$C,2,FALSE),"-- not on vendor --"),IF($C6="Vendor_B",IFERROR(VLOOKUP($A6,Vendor_B!$A:$C,2,FALSE),"-- not on vendor --"),IF($C6="Vendor_C",IFERROR(VLOOKUP($A6,Vendor_C!$A:$C,2,FALSE),"-- not on vendor --"),"-- not on vendor --"))))</f>
      </c>
      <c r="E6">
        <f>IF($A6="","",$D6*$I$2)</f>
      </c>
      <c r="F6" s="2">
        <f>IF($A6="","",IF($C6="Vendor_A",IFERROR(VLOOKUP($A6,Vendor_A!$A:$C,3,FALSE),""),IF($C6="Vendor_B",IFERROR(VLOOKUP($A6,Vendor_B!$A:$C,3,FALSE),""),IF($C6="Vendor_C",IFERROR(VLOOKUP($A6,Vendor_C!$A:$C,3,FALSE),""),""))))</f>
      </c>
      <c r="G6" s="2">
        <f>IF($A6="","",IF($F6="","",$E6*$F6))</f>
      </c>
    </row>
    <row r="7">
      <c r="B7">
        <f>IF($A7="","",IF($C7="Vendor_A",IFERROR(VLOOKUP($A7,Vendor_A!$A:$C,2,FALSE),"-- not on vendor --"),IF($C7="Vendor_B",IFERROR(VLOOKUP($A7,Vendor_B!$A:$C,2,FALSE),"-- not on vendor --"),IF($C7="Vendor_C",IFERROR(VLOOKUP($A7,Vendor_C!$A:$C,2,FALSE),"-- not on vendor --"),"-- not on vendor --"))))</f>
      </c>
      <c r="E7">
        <f>IF($A7="","",$D7*$I$2)</f>
      </c>
      <c r="F7" s="2">
        <f>IF($A7="","",IF($C7="Vendor_A",IFERROR(VLOOKUP($A7,Vendor_A!$A:$C,3,FALSE),""),IF($C7="Vendor_B",IFERROR(VLOOKUP($A7,Vendor_B!$A:$C,3,FALSE),""),IF($C7="Vendor_C",IFERROR(VLOOKUP($A7,Vendor_C!$A:$C,3,FALSE),""),""))))</f>
      </c>
      <c r="G7" s="2">
        <f>IF($A7="","",IF($F7="","",$E7*$F7))</f>
      </c>
    </row>
    <row r="8">
      <c r="B8">
        <f>IF($A8="","",IF($C8="Vendor_A",IFERROR(VLOOKUP($A8,Vendor_A!$A:$C,2,FALSE),"-- not on vendor --"),IF($C8="Vendor_B",IFERROR(VLOOKUP($A8,Vendor_B!$A:$C,2,FALSE),"-- not on vendor --"),IF($C8="Vendor_C",IFERROR(VLOOKUP($A8,Vendor_C!$A:$C,2,FALSE),"-- not on vendor --"),"-- not on vendor --"))))</f>
      </c>
      <c r="E8">
        <f>IF($A8="","",$D8*$I$2)</f>
      </c>
      <c r="F8" s="2">
        <f>IF($A8="","",IF($C8="Vendor_A",IFERROR(VLOOKUP($A8,Vendor_A!$A:$C,3,FALSE),""),IF($C8="Vendor_B",IFERROR(VLOOKUP($A8,Vendor_B!$A:$C,3,FALSE),""),IF($C8="Vendor_C",IFERROR(VLOOKUP($A8,Vendor_C!$A:$C,3,FALSE),""),""))))</f>
      </c>
      <c r="G8" s="2">
        <f>IF($A8="","",IF($F8="","",$E8*$F8))</f>
      </c>
    </row>
    <row r="9">
      <c r="B9">
        <f>IF($A9="","",IF($C9="Vendor_A",IFERROR(VLOOKUP($A9,Vendor_A!$A:$C,2,FALSE),"-- not on vendor --"),IF($C9="Vendor_B",IFERROR(VLOOKUP($A9,Vendor_B!$A:$C,2,FALSE),"-- not on vendor --"),IF($C9="Vendor_C",IFERROR(VLOOKUP($A9,Vendor_C!$A:$C,2,FALSE),"-- not on vendor --"),"-- not on vendor --"))))</f>
      </c>
      <c r="E9">
        <f>IF($A9="","",$D9*$I$2)</f>
      </c>
      <c r="F9" s="2">
        <f>IF($A9="","",IF($C9="Vendor_A",IFERROR(VLOOKUP($A9,Vendor_A!$A:$C,3,FALSE),""),IF($C9="Vendor_B",IFERROR(VLOOKUP($A9,Vendor_B!$A:$C,3,FALSE),""),IF($C9="Vendor_C",IFERROR(VLOOKUP($A9,Vendor_C!$A:$C,3,FALSE),""),""))))</f>
      </c>
      <c r="G9" s="2">
        <f>IF($A9="","",IF($F9="","",$E9*$F9))</f>
      </c>
    </row>
    <row r="10">
      <c r="B10">
        <f>IF($A10="","",IF($C10="Vendor_A",IFERROR(VLOOKUP($A10,Vendor_A!$A:$C,2,FALSE),"-- not on vendor --"),IF($C10="Vendor_B",IFERROR(VLOOKUP($A10,Vendor_B!$A:$C,2,FALSE),"-- not on vendor --"),IF($C10="Vendor_C",IFERROR(VLOOKUP($A10,Vendor_C!$A:$C,2,FALSE),"-- not on vendor --"),"-- not on vendor --"))))</f>
      </c>
      <c r="E10">
        <f>IF($A10="","",$D10*$I$2)</f>
      </c>
      <c r="F10" s="2">
        <f>IF($A10="","",IF($C10="Vendor_A",IFERROR(VLOOKUP($A10,Vendor_A!$A:$C,3,FALSE),""),IF($C10="Vendor_B",IFERROR(VLOOKUP($A10,Vendor_B!$A:$C,3,FALSE),""),IF($C10="Vendor_C",IFERROR(VLOOKUP($A10,Vendor_C!$A:$C,3,FALSE),""),""))))</f>
      </c>
      <c r="G10" s="2">
        <f>IF($A10="","",IF($F10="","",$E10*$F10))</f>
      </c>
    </row>
    <row r="11">
      <c r="B11">
        <f>IF($A11="","",IF($C11="Vendor_A",IFERROR(VLOOKUP($A11,Vendor_A!$A:$C,2,FALSE),"-- not on vendor --"),IF($C11="Vendor_B",IFERROR(VLOOKUP($A11,Vendor_B!$A:$C,2,FALSE),"-- not on vendor --"),IF($C11="Vendor_C",IFERROR(VLOOKUP($A11,Vendor_C!$A:$C,2,FALSE),"-- not on vendor --"),"-- not on vendor --"))))</f>
      </c>
      <c r="E11">
        <f>IF($A11="","",$D11*$I$2)</f>
      </c>
      <c r="F11" s="2">
        <f>IF($A11="","",IF($C11="Vendor_A",IFERROR(VLOOKUP($A11,Vendor_A!$A:$C,3,FALSE),""),IF($C11="Vendor_B",IFERROR(VLOOKUP($A11,Vendor_B!$A:$C,3,FALSE),""),IF($C11="Vendor_C",IFERROR(VLOOKUP($A11,Vendor_C!$A:$C,3,FALSE),""),""))))</f>
      </c>
      <c r="G11" s="2">
        <f>IF($A11="","",IF($F11="","",$E11*$F11))</f>
      </c>
    </row>
    <row r="12">
      <c r="B12">
        <f>IF($A12="","",IF($C12="Vendor_A",IFERROR(VLOOKUP($A12,Vendor_A!$A:$C,2,FALSE),"-- not on vendor --"),IF($C12="Vendor_B",IFERROR(VLOOKUP($A12,Vendor_B!$A:$C,2,FALSE),"-- not on vendor --"),IF($C12="Vendor_C",IFERROR(VLOOKUP($A12,Vendor_C!$A:$C,2,FALSE),"-- not on vendor --"),"-- not on vendor --"))))</f>
      </c>
      <c r="E12">
        <f>IF($A12="","",$D12*$I$2)</f>
      </c>
      <c r="F12" s="2">
        <f>IF($A12="","",IF($C12="Vendor_A",IFERROR(VLOOKUP($A12,Vendor_A!$A:$C,3,FALSE),""),IF($C12="Vendor_B",IFERROR(VLOOKUP($A12,Vendor_B!$A:$C,3,FALSE),""),IF($C12="Vendor_C",IFERROR(VLOOKUP($A12,Vendor_C!$A:$C,3,FALSE),""),""))))</f>
      </c>
      <c r="G12" s="2">
        <f>IF($A12="","",IF($F12="","",$E12*$F12))</f>
      </c>
    </row>
    <row r="13">
      <c r="B13">
        <f>IF($A13="","",IF($C13="Vendor_A",IFERROR(VLOOKUP($A13,Vendor_A!$A:$C,2,FALSE),"-- not on vendor --"),IF($C13="Vendor_B",IFERROR(VLOOKUP($A13,Vendor_B!$A:$C,2,FALSE),"-- not on vendor --"),IF($C13="Vendor_C",IFERROR(VLOOKUP($A13,Vendor_C!$A:$C,2,FALSE),"-- not on vendor --"),"-- not on vendor --"))))</f>
      </c>
      <c r="E13">
        <f>IF($A13="","",$D13*$I$2)</f>
      </c>
      <c r="F13" s="2">
        <f>IF($A13="","",IF($C13="Vendor_A",IFERROR(VLOOKUP($A13,Vendor_A!$A:$C,3,FALSE),""),IF($C13="Vendor_B",IFERROR(VLOOKUP($A13,Vendor_B!$A:$C,3,FALSE),""),IF($C13="Vendor_C",IFERROR(VLOOKUP($A13,Vendor_C!$A:$C,3,FALSE),""),""))))</f>
      </c>
      <c r="G13" s="2">
        <f>IF($A13="","",IF($F13="","",$E13*$F13))</f>
      </c>
    </row>
    <row r="14">
      <c r="B14">
        <f>IF($A14="","",IF($C14="Vendor_A",IFERROR(VLOOKUP($A14,Vendor_A!$A:$C,2,FALSE),"-- not on vendor --"),IF($C14="Vendor_B",IFERROR(VLOOKUP($A14,Vendor_B!$A:$C,2,FALSE),"-- not on vendor --"),IF($C14="Vendor_C",IFERROR(VLOOKUP($A14,Vendor_C!$A:$C,2,FALSE),"-- not on vendor --"),"-- not on vendor --"))))</f>
      </c>
      <c r="E14">
        <f>IF($A14="","",$D14*$I$2)</f>
      </c>
      <c r="F14" s="2">
        <f>IF($A14="","",IF($C14="Vendor_A",IFERROR(VLOOKUP($A14,Vendor_A!$A:$C,3,FALSE),""),IF($C14="Vendor_B",IFERROR(VLOOKUP($A14,Vendor_B!$A:$C,3,FALSE),""),IF($C14="Vendor_C",IFERROR(VLOOKUP($A14,Vendor_C!$A:$C,3,FALSE),""),""))))</f>
      </c>
      <c r="G14" s="2">
        <f>IF($A14="","",IF($F14="","",$E14*$F14))</f>
      </c>
    </row>
    <row r="15">
      <c r="B15">
        <f>IF($A15="","",IF($C15="Vendor_A",IFERROR(VLOOKUP($A15,Vendor_A!$A:$C,2,FALSE),"-- not on vendor --"),IF($C15="Vendor_B",IFERROR(VLOOKUP($A15,Vendor_B!$A:$C,2,FALSE),"-- not on vendor --"),IF($C15="Vendor_C",IFERROR(VLOOKUP($A15,Vendor_C!$A:$C,2,FALSE),"-- not on vendor --"),"-- not on vendor --"))))</f>
      </c>
      <c r="E15">
        <f>IF($A15="","",$D15*$I$2)</f>
      </c>
      <c r="F15" s="2">
        <f>IF($A15="","",IF($C15="Vendor_A",IFERROR(VLOOKUP($A15,Vendor_A!$A:$C,3,FALSE),""),IF($C15="Vendor_B",IFERROR(VLOOKUP($A15,Vendor_B!$A:$C,3,FALSE),""),IF($C15="Vendor_C",IFERROR(VLOOKUP($A15,Vendor_C!$A:$C,3,FALSE),""),""))))</f>
      </c>
      <c r="G15" s="2">
        <f>IF($A15="","",IF($F15="","",$E15*$F15))</f>
      </c>
    </row>
    <row r="16">
      <c r="B16">
        <f>IF($A16="","",IF($C16="Vendor_A",IFERROR(VLOOKUP($A16,Vendor_A!$A:$C,2,FALSE),"-- not on vendor --"),IF($C16="Vendor_B",IFERROR(VLOOKUP($A16,Vendor_B!$A:$C,2,FALSE),"-- not on vendor --"),IF($C16="Vendor_C",IFERROR(VLOOKUP($A16,Vendor_C!$A:$C,2,FALSE),"-- not on vendor --"),"-- not on vendor --"))))</f>
      </c>
      <c r="E16">
        <f>IF($A16="","",$D16*$I$2)</f>
      </c>
      <c r="F16" s="2">
        <f>IF($A16="","",IF($C16="Vendor_A",IFERROR(VLOOKUP($A16,Vendor_A!$A:$C,3,FALSE),""),IF($C16="Vendor_B",IFERROR(VLOOKUP($A16,Vendor_B!$A:$C,3,FALSE),""),IF($C16="Vendor_C",IFERROR(VLOOKUP($A16,Vendor_C!$A:$C,3,FALSE),""),""))))</f>
      </c>
      <c r="G16" s="2">
        <f>IF($A16="","",IF($F16="","",$E16*$F16))</f>
      </c>
    </row>
    <row r="17">
      <c r="B17">
        <f>IF($A17="","",IF($C17="Vendor_A",IFERROR(VLOOKUP($A17,Vendor_A!$A:$C,2,FALSE),"-- not on vendor --"),IF($C17="Vendor_B",IFERROR(VLOOKUP($A17,Vendor_B!$A:$C,2,FALSE),"-- not on vendor --"),IF($C17="Vendor_C",IFERROR(VLOOKUP($A17,Vendor_C!$A:$C,2,FALSE),"-- not on vendor --"),"-- not on vendor --"))))</f>
      </c>
      <c r="E17">
        <f>IF($A17="","",$D17*$I$2)</f>
      </c>
      <c r="F17" s="2">
        <f>IF($A17="","",IF($C17="Vendor_A",IFERROR(VLOOKUP($A17,Vendor_A!$A:$C,3,FALSE),""),IF($C17="Vendor_B",IFERROR(VLOOKUP($A17,Vendor_B!$A:$C,3,FALSE),""),IF($C17="Vendor_C",IFERROR(VLOOKUP($A17,Vendor_C!$A:$C,3,FALSE),""),""))))</f>
      </c>
      <c r="G17" s="2">
        <f>IF($A17="","",IF($F17="","",$E17*$F17))</f>
      </c>
    </row>
    <row r="18">
      <c r="B18">
        <f>IF($A18="","",IF($C18="Vendor_A",IFERROR(VLOOKUP($A18,Vendor_A!$A:$C,2,FALSE),"-- not on vendor --"),IF($C18="Vendor_B",IFERROR(VLOOKUP($A18,Vendor_B!$A:$C,2,FALSE),"-- not on vendor --"),IF($C18="Vendor_C",IFERROR(VLOOKUP($A18,Vendor_C!$A:$C,2,FALSE),"-- not on vendor --"),"-- not on vendor --"))))</f>
      </c>
      <c r="E18">
        <f>IF($A18="","",$D18*$I$2)</f>
      </c>
      <c r="F18" s="2">
        <f>IF($A18="","",IF($C18="Vendor_A",IFERROR(VLOOKUP($A18,Vendor_A!$A:$C,3,FALSE),""),IF($C18="Vendor_B",IFERROR(VLOOKUP($A18,Vendor_B!$A:$C,3,FALSE),""),IF($C18="Vendor_C",IFERROR(VLOOKUP($A18,Vendor_C!$A:$C,3,FALSE),""),""))))</f>
      </c>
      <c r="G18" s="2">
        <f>IF($A18="","",IF($F18="","",$E18*$F18))</f>
      </c>
    </row>
    <row r="19">
      <c r="B19">
        <f>IF($A19="","",IF($C19="Vendor_A",IFERROR(VLOOKUP($A19,Vendor_A!$A:$C,2,FALSE),"-- not on vendor --"),IF($C19="Vendor_B",IFERROR(VLOOKUP($A19,Vendor_B!$A:$C,2,FALSE),"-- not on vendor --"),IF($C19="Vendor_C",IFERROR(VLOOKUP($A19,Vendor_C!$A:$C,2,FALSE),"-- not on vendor --"),"-- not on vendor --"))))</f>
      </c>
      <c r="E19">
        <f>IF($A19="","",$D19*$I$2)</f>
      </c>
      <c r="F19" s="2">
        <f>IF($A19="","",IF($C19="Vendor_A",IFERROR(VLOOKUP($A19,Vendor_A!$A:$C,3,FALSE),""),IF($C19="Vendor_B",IFERROR(VLOOKUP($A19,Vendor_B!$A:$C,3,FALSE),""),IF($C19="Vendor_C",IFERROR(VLOOKUP($A19,Vendor_C!$A:$C,3,FALSE),""),""))))</f>
      </c>
      <c r="G19" s="2">
        <f>IF($A19="","",IF($F19="","",$E19*$F19))</f>
      </c>
    </row>
    <row r="20">
      <c r="B20">
        <f>IF($A20="","",IF($C20="Vendor_A",IFERROR(VLOOKUP($A20,Vendor_A!$A:$C,2,FALSE),"-- not on vendor --"),IF($C20="Vendor_B",IFERROR(VLOOKUP($A20,Vendor_B!$A:$C,2,FALSE),"-- not on vendor --"),IF($C20="Vendor_C",IFERROR(VLOOKUP($A20,Vendor_C!$A:$C,2,FALSE),"-- not on vendor --"),"-- not on vendor --"))))</f>
      </c>
      <c r="E20">
        <f>IF($A20="","",$D20*$I$2)</f>
      </c>
      <c r="F20" s="2">
        <f>IF($A20="","",IF($C20="Vendor_A",IFERROR(VLOOKUP($A20,Vendor_A!$A:$C,3,FALSE),""),IF($C20="Vendor_B",IFERROR(VLOOKUP($A20,Vendor_B!$A:$C,3,FALSE),""),IF($C20="Vendor_C",IFERROR(VLOOKUP($A20,Vendor_C!$A:$C,3,FALSE),""),""))))</f>
      </c>
      <c r="G20" s="2">
        <f>IF($A20="","",IF($F20="","",$E20*$F20))</f>
      </c>
    </row>
    <row r="21">
      <c r="B21">
        <f>IF($A21="","",IF($C21="Vendor_A",IFERROR(VLOOKUP($A21,Vendor_A!$A:$C,2,FALSE),"-- not on vendor --"),IF($C21="Vendor_B",IFERROR(VLOOKUP($A21,Vendor_B!$A:$C,2,FALSE),"-- not on vendor --"),IF($C21="Vendor_C",IFERROR(VLOOKUP($A21,Vendor_C!$A:$C,2,FALSE),"-- not on vendor --"),"-- not on vendor --"))))</f>
      </c>
      <c r="E21">
        <f>IF($A21="","",$D21*$I$2)</f>
      </c>
      <c r="F21" s="2">
        <f>IF($A21="","",IF($C21="Vendor_A",IFERROR(VLOOKUP($A21,Vendor_A!$A:$C,3,FALSE),""),IF($C21="Vendor_B",IFERROR(VLOOKUP($A21,Vendor_B!$A:$C,3,FALSE),""),IF($C21="Vendor_C",IFERROR(VLOOKUP($A21,Vendor_C!$A:$C,3,FALSE),""),""))))</f>
      </c>
      <c r="G21" s="2">
        <f>IF($A21="","",IF($F21="","",$E21*$F21))</f>
      </c>
    </row>
    <row r="22">
      <c r="B22">
        <f>IF($A22="","",IF($C22="Vendor_A",IFERROR(VLOOKUP($A22,Vendor_A!$A:$C,2,FALSE),"-- not on vendor --"),IF($C22="Vendor_B",IFERROR(VLOOKUP($A22,Vendor_B!$A:$C,2,FALSE),"-- not on vendor --"),IF($C22="Vendor_C",IFERROR(VLOOKUP($A22,Vendor_C!$A:$C,2,FALSE),"-- not on vendor --"),"-- not on vendor --"))))</f>
      </c>
      <c r="E22">
        <f>IF($A22="","",$D22*$I$2)</f>
      </c>
      <c r="F22" s="2">
        <f>IF($A22="","",IF($C22="Vendor_A",IFERROR(VLOOKUP($A22,Vendor_A!$A:$C,3,FALSE),""),IF($C22="Vendor_B",IFERROR(VLOOKUP($A22,Vendor_B!$A:$C,3,FALSE),""),IF($C22="Vendor_C",IFERROR(VLOOKUP($A22,Vendor_C!$A:$C,3,FALSE),""),""))))</f>
      </c>
      <c r="G22" s="2">
        <f>IF($A22="","",IF($F22="","",$E22*$F22))</f>
      </c>
    </row>
    <row r="23">
      <c r="B23">
        <f>IF($A23="","",IF($C23="Vendor_A",IFERROR(VLOOKUP($A23,Vendor_A!$A:$C,2,FALSE),"-- not on vendor --"),IF($C23="Vendor_B",IFERROR(VLOOKUP($A23,Vendor_B!$A:$C,2,FALSE),"-- not on vendor --"),IF($C23="Vendor_C",IFERROR(VLOOKUP($A23,Vendor_C!$A:$C,2,FALSE),"-- not on vendor --"),"-- not on vendor --"))))</f>
      </c>
      <c r="E23">
        <f>IF($A23="","",$D23*$I$2)</f>
      </c>
      <c r="F23" s="2">
        <f>IF($A23="","",IF($C23="Vendor_A",IFERROR(VLOOKUP($A23,Vendor_A!$A:$C,3,FALSE),""),IF($C23="Vendor_B",IFERROR(VLOOKUP($A23,Vendor_B!$A:$C,3,FALSE),""),IF($C23="Vendor_C",IFERROR(VLOOKUP($A23,Vendor_C!$A:$C,3,FALSE),""),""))))</f>
      </c>
      <c r="G23" s="2">
        <f>IF($A23="","",IF($F23="","",$E23*$F23))</f>
      </c>
    </row>
    <row r="24">
      <c r="B24">
        <f>IF($A24="","",IF($C24="Vendor_A",IFERROR(VLOOKUP($A24,Vendor_A!$A:$C,2,FALSE),"-- not on vendor --"),IF($C24="Vendor_B",IFERROR(VLOOKUP($A24,Vendor_B!$A:$C,2,FALSE),"-- not on vendor --"),IF($C24="Vendor_C",IFERROR(VLOOKUP($A24,Vendor_C!$A:$C,2,FALSE),"-- not on vendor --"),"-- not on vendor --"))))</f>
      </c>
      <c r="E24">
        <f>IF($A24="","",$D24*$I$2)</f>
      </c>
      <c r="F24" s="2">
        <f>IF($A24="","",IF($C24="Vendor_A",IFERROR(VLOOKUP($A24,Vendor_A!$A:$C,3,FALSE),""),IF($C24="Vendor_B",IFERROR(VLOOKUP($A24,Vendor_B!$A:$C,3,FALSE),""),IF($C24="Vendor_C",IFERROR(VLOOKUP($A24,Vendor_C!$A:$C,3,FALSE),""),""))))</f>
      </c>
      <c r="G24" s="2">
        <f>IF($A24="","",IF($F24="","",$E24*$F24))</f>
      </c>
    </row>
    <row r="25">
      <c r="B25">
        <f>IF($A25="","",IF($C25="Vendor_A",IFERROR(VLOOKUP($A25,Vendor_A!$A:$C,2,FALSE),"-- not on vendor --"),IF($C25="Vendor_B",IFERROR(VLOOKUP($A25,Vendor_B!$A:$C,2,FALSE),"-- not on vendor --"),IF($C25="Vendor_C",IFERROR(VLOOKUP($A25,Vendor_C!$A:$C,2,FALSE),"-- not on vendor --"),"-- not on vendor --"))))</f>
      </c>
      <c r="E25">
        <f>IF($A25="","",$D25*$I$2)</f>
      </c>
      <c r="F25" s="2">
        <f>IF($A25="","",IF($C25="Vendor_A",IFERROR(VLOOKUP($A25,Vendor_A!$A:$C,3,FALSE),""),IF($C25="Vendor_B",IFERROR(VLOOKUP($A25,Vendor_B!$A:$C,3,FALSE),""),IF($C25="Vendor_C",IFERROR(VLOOKUP($A25,Vendor_C!$A:$C,3,FALSE),""),""))))</f>
      </c>
      <c r="G25" s="2">
        <f>IF($A25="","",IF($F25="","",$E25*$F25))</f>
      </c>
    </row>
    <row r="26">
      <c r="B26">
        <f>IF($A26="","",IF($C26="Vendor_A",IFERROR(VLOOKUP($A26,Vendor_A!$A:$C,2,FALSE),"-- not on vendor --"),IF($C26="Vendor_B",IFERROR(VLOOKUP($A26,Vendor_B!$A:$C,2,FALSE),"-- not on vendor --"),IF($C26="Vendor_C",IFERROR(VLOOKUP($A26,Vendor_C!$A:$C,2,FALSE),"-- not on vendor --"),"-- not on vendor --"))))</f>
      </c>
      <c r="E26">
        <f>IF($A26="","",$D26*$I$2)</f>
      </c>
      <c r="F26" s="2">
        <f>IF($A26="","",IF($C26="Vendor_A",IFERROR(VLOOKUP($A26,Vendor_A!$A:$C,3,FALSE),""),IF($C26="Vendor_B",IFERROR(VLOOKUP($A26,Vendor_B!$A:$C,3,FALSE),""),IF($C26="Vendor_C",IFERROR(VLOOKUP($A26,Vendor_C!$A:$C,3,FALSE),""),""))))</f>
      </c>
      <c r="G26" s="2">
        <f>IF($A26="","",IF($F26="","",$E26*$F26))</f>
      </c>
    </row>
    <row r="27">
      <c r="B27">
        <f>IF($A27="","",IF($C27="Vendor_A",IFERROR(VLOOKUP($A27,Vendor_A!$A:$C,2,FALSE),"-- not on vendor --"),IF($C27="Vendor_B",IFERROR(VLOOKUP($A27,Vendor_B!$A:$C,2,FALSE),"-- not on vendor --"),IF($C27="Vendor_C",IFERROR(VLOOKUP($A27,Vendor_C!$A:$C,2,FALSE),"-- not on vendor --"),"-- not on vendor --"))))</f>
      </c>
      <c r="E27">
        <f>IF($A27="","",$D27*$I$2)</f>
      </c>
      <c r="F27" s="2">
        <f>IF($A27="","",IF($C27="Vendor_A",IFERROR(VLOOKUP($A27,Vendor_A!$A:$C,3,FALSE),""),IF($C27="Vendor_B",IFERROR(VLOOKUP($A27,Vendor_B!$A:$C,3,FALSE),""),IF($C27="Vendor_C",IFERROR(VLOOKUP($A27,Vendor_C!$A:$C,3,FALSE),""),""))))</f>
      </c>
      <c r="G27" s="2">
        <f>IF($A27="","",IF($F27="","",$E27*$F27))</f>
      </c>
    </row>
    <row r="28">
      <c r="B28">
        <f>IF($A28="","",IF($C28="Vendor_A",IFERROR(VLOOKUP($A28,Vendor_A!$A:$C,2,FALSE),"-- not on vendor --"),IF($C28="Vendor_B",IFERROR(VLOOKUP($A28,Vendor_B!$A:$C,2,FALSE),"-- not on vendor --"),IF($C28="Vendor_C",IFERROR(VLOOKUP($A28,Vendor_C!$A:$C,2,FALSE),"-- not on vendor --"),"-- not on vendor --"))))</f>
      </c>
      <c r="E28">
        <f>IF($A28="","",$D28*$I$2)</f>
      </c>
      <c r="F28" s="2">
        <f>IF($A28="","",IF($C28="Vendor_A",IFERROR(VLOOKUP($A28,Vendor_A!$A:$C,3,FALSE),""),IF($C28="Vendor_B",IFERROR(VLOOKUP($A28,Vendor_B!$A:$C,3,FALSE),""),IF($C28="Vendor_C",IFERROR(VLOOKUP($A28,Vendor_C!$A:$C,3,FALSE),""),""))))</f>
      </c>
      <c r="G28" s="2">
        <f>IF($A28="","",IF($F28="","",$E28*$F28))</f>
      </c>
    </row>
    <row r="29">
      <c r="B29">
        <f>IF($A29="","",IF($C29="Vendor_A",IFERROR(VLOOKUP($A29,Vendor_A!$A:$C,2,FALSE),"-- not on vendor --"),IF($C29="Vendor_B",IFERROR(VLOOKUP($A29,Vendor_B!$A:$C,2,FALSE),"-- not on vendor --"),IF($C29="Vendor_C",IFERROR(VLOOKUP($A29,Vendor_C!$A:$C,2,FALSE),"-- not on vendor --"),"-- not on vendor --"))))</f>
      </c>
      <c r="E29">
        <f>IF($A29="","",$D29*$I$2)</f>
      </c>
      <c r="F29" s="2">
        <f>IF($A29="","",IF($C29="Vendor_A",IFERROR(VLOOKUP($A29,Vendor_A!$A:$C,3,FALSE),""),IF($C29="Vendor_B",IFERROR(VLOOKUP($A29,Vendor_B!$A:$C,3,FALSE),""),IF($C29="Vendor_C",IFERROR(VLOOKUP($A29,Vendor_C!$A:$C,3,FALSE),""),""))))</f>
      </c>
      <c r="G29" s="2">
        <f>IF($A29="","",IF($F29="","",$E29*$F29))</f>
      </c>
    </row>
    <row r="30">
      <c r="B30">
        <f>IF($A30="","",IF($C30="Vendor_A",IFERROR(VLOOKUP($A30,Vendor_A!$A:$C,2,FALSE),"-- not on vendor --"),IF($C30="Vendor_B",IFERROR(VLOOKUP($A30,Vendor_B!$A:$C,2,FALSE),"-- not on vendor --"),IF($C30="Vendor_C",IFERROR(VLOOKUP($A30,Vendor_C!$A:$C,2,FALSE),"-- not on vendor --"),"-- not on vendor --"))))</f>
      </c>
      <c r="E30">
        <f>IF($A30="","",$D30*$I$2)</f>
      </c>
      <c r="F30" s="2">
        <f>IF($A30="","",IF($C30="Vendor_A",IFERROR(VLOOKUP($A30,Vendor_A!$A:$C,3,FALSE),""),IF($C30="Vendor_B",IFERROR(VLOOKUP($A30,Vendor_B!$A:$C,3,FALSE),""),IF($C30="Vendor_C",IFERROR(VLOOKUP($A30,Vendor_C!$A:$C,3,FALSE),""),""))))</f>
      </c>
      <c r="G30" s="2">
        <f>IF($A30="","",IF($F30="","",$E30*$F30))</f>
      </c>
    </row>
    <row r="31">
      <c r="B31">
        <f>IF($A31="","",IF($C31="Vendor_A",IFERROR(VLOOKUP($A31,Vendor_A!$A:$C,2,FALSE),"-- not on vendor --"),IF($C31="Vendor_B",IFERROR(VLOOKUP($A31,Vendor_B!$A:$C,2,FALSE),"-- not on vendor --"),IF($C31="Vendor_C",IFERROR(VLOOKUP($A31,Vendor_C!$A:$C,2,FALSE),"-- not on vendor --"),"-- not on vendor --"))))</f>
      </c>
      <c r="E31">
        <f>IF($A31="","",$D31*$I$2)</f>
      </c>
      <c r="F31" s="2">
        <f>IF($A31="","",IF($C31="Vendor_A",IFERROR(VLOOKUP($A31,Vendor_A!$A:$C,3,FALSE),""),IF($C31="Vendor_B",IFERROR(VLOOKUP($A31,Vendor_B!$A:$C,3,FALSE),""),IF($C31="Vendor_C",IFERROR(VLOOKUP($A31,Vendor_C!$A:$C,3,FALSE),""),""))))</f>
      </c>
      <c r="G31" s="2">
        <f>IF($A31="","",IF($F31="","",$E31*$F31))</f>
      </c>
    </row>
    <row r="32">
      <c r="B32">
        <f>IF($A32="","",IF($C32="Vendor_A",IFERROR(VLOOKUP($A32,Vendor_A!$A:$C,2,FALSE),"-- not on vendor --"),IF($C32="Vendor_B",IFERROR(VLOOKUP($A32,Vendor_B!$A:$C,2,FALSE),"-- not on vendor --"),IF($C32="Vendor_C",IFERROR(VLOOKUP($A32,Vendor_C!$A:$C,2,FALSE),"-- not on vendor --"),"-- not on vendor --"))))</f>
      </c>
      <c r="E32">
        <f>IF($A32="","",$D32*$I$2)</f>
      </c>
      <c r="F32" s="2">
        <f>IF($A32="","",IF($C32="Vendor_A",IFERROR(VLOOKUP($A32,Vendor_A!$A:$C,3,FALSE),""),IF($C32="Vendor_B",IFERROR(VLOOKUP($A32,Vendor_B!$A:$C,3,FALSE),""),IF($C32="Vendor_C",IFERROR(VLOOKUP($A32,Vendor_C!$A:$C,3,FALSE),""),""))))</f>
      </c>
      <c r="G32" s="2">
        <f>IF($A32="","",IF($F32="","",$E32*$F32))</f>
      </c>
    </row>
    <row r="33">
      <c r="B33">
        <f>IF($A33="","",IF($C33="Vendor_A",IFERROR(VLOOKUP($A33,Vendor_A!$A:$C,2,FALSE),"-- not on vendor --"),IF($C33="Vendor_B",IFERROR(VLOOKUP($A33,Vendor_B!$A:$C,2,FALSE),"-- not on vendor --"),IF($C33="Vendor_C",IFERROR(VLOOKUP($A33,Vendor_C!$A:$C,2,FALSE),"-- not on vendor --"),"-- not on vendor --"))))</f>
      </c>
      <c r="E33">
        <f>IF($A33="","",$D33*$I$2)</f>
      </c>
      <c r="F33" s="2">
        <f>IF($A33="","",IF($C33="Vendor_A",IFERROR(VLOOKUP($A33,Vendor_A!$A:$C,3,FALSE),""),IF($C33="Vendor_B",IFERROR(VLOOKUP($A33,Vendor_B!$A:$C,3,FALSE),""),IF($C33="Vendor_C",IFERROR(VLOOKUP($A33,Vendor_C!$A:$C,3,FALSE),""),""))))</f>
      </c>
      <c r="G33" s="2">
        <f>IF($A33="","",IF($F33="","",$E33*$F33))</f>
      </c>
    </row>
    <row r="34">
      <c r="B34">
        <f>IF($A34="","",IF($C34="Vendor_A",IFERROR(VLOOKUP($A34,Vendor_A!$A:$C,2,FALSE),"-- not on vendor --"),IF($C34="Vendor_B",IFERROR(VLOOKUP($A34,Vendor_B!$A:$C,2,FALSE),"-- not on vendor --"),IF($C34="Vendor_C",IFERROR(VLOOKUP($A34,Vendor_C!$A:$C,2,FALSE),"-- not on vendor --"),"-- not on vendor --"))))</f>
      </c>
      <c r="E34">
        <f>IF($A34="","",$D34*$I$2)</f>
      </c>
      <c r="F34" s="2">
        <f>IF($A34="","",IF($C34="Vendor_A",IFERROR(VLOOKUP($A34,Vendor_A!$A:$C,3,FALSE),""),IF($C34="Vendor_B",IFERROR(VLOOKUP($A34,Vendor_B!$A:$C,3,FALSE),""),IF($C34="Vendor_C",IFERROR(VLOOKUP($A34,Vendor_C!$A:$C,3,FALSE),""),""))))</f>
      </c>
      <c r="G34" s="2">
        <f>IF($A34="","",IF($F34="","",$E34*$F34))</f>
      </c>
    </row>
    <row r="35">
      <c r="B35">
        <f>IF($A35="","",IF($C35="Vendor_A",IFERROR(VLOOKUP($A35,Vendor_A!$A:$C,2,FALSE),"-- not on vendor --"),IF($C35="Vendor_B",IFERROR(VLOOKUP($A35,Vendor_B!$A:$C,2,FALSE),"-- not on vendor --"),IF($C35="Vendor_C",IFERROR(VLOOKUP($A35,Vendor_C!$A:$C,2,FALSE),"-- not on vendor --"),"-- not on vendor --"))))</f>
      </c>
      <c r="E35">
        <f>IF($A35="","",$D35*$I$2)</f>
      </c>
      <c r="F35" s="2">
        <f>IF($A35="","",IF($C35="Vendor_A",IFERROR(VLOOKUP($A35,Vendor_A!$A:$C,3,FALSE),""),IF($C35="Vendor_B",IFERROR(VLOOKUP($A35,Vendor_B!$A:$C,3,FALSE),""),IF($C35="Vendor_C",IFERROR(VLOOKUP($A35,Vendor_C!$A:$C,3,FALSE),""),""))))</f>
      </c>
      <c r="G35" s="2">
        <f>IF($A35="","",IF($F35="","",$E35*$F35))</f>
      </c>
    </row>
    <row r="36">
      <c r="B36">
        <f>IF($A36="","",IF($C36="Vendor_A",IFERROR(VLOOKUP($A36,Vendor_A!$A:$C,2,FALSE),"-- not on vendor --"),IF($C36="Vendor_B",IFERROR(VLOOKUP($A36,Vendor_B!$A:$C,2,FALSE),"-- not on vendor --"),IF($C36="Vendor_C",IFERROR(VLOOKUP($A36,Vendor_C!$A:$C,2,FALSE),"-- not on vendor --"),"-- not on vendor --"))))</f>
      </c>
      <c r="E36">
        <f>IF($A36="","",$D36*$I$2)</f>
      </c>
      <c r="F36" s="2">
        <f>IF($A36="","",IF($C36="Vendor_A",IFERROR(VLOOKUP($A36,Vendor_A!$A:$C,3,FALSE),""),IF($C36="Vendor_B",IFERROR(VLOOKUP($A36,Vendor_B!$A:$C,3,FALSE),""),IF($C36="Vendor_C",IFERROR(VLOOKUP($A36,Vendor_C!$A:$C,3,FALSE),""),""))))</f>
      </c>
      <c r="G36" s="2">
        <f>IF($A36="","",IF($F36="","",$E36*$F36))</f>
      </c>
    </row>
    <row r="37">
      <c r="B37">
        <f>IF($A37="","",IF($C37="Vendor_A",IFERROR(VLOOKUP($A37,Vendor_A!$A:$C,2,FALSE),"-- not on vendor --"),IF($C37="Vendor_B",IFERROR(VLOOKUP($A37,Vendor_B!$A:$C,2,FALSE),"-- not on vendor --"),IF($C37="Vendor_C",IFERROR(VLOOKUP($A37,Vendor_C!$A:$C,2,FALSE),"-- not on vendor --"),"-- not on vendor --"))))</f>
      </c>
      <c r="E37">
        <f>IF($A37="","",$D37*$I$2)</f>
      </c>
      <c r="F37" s="2">
        <f>IF($A37="","",IF($C37="Vendor_A",IFERROR(VLOOKUP($A37,Vendor_A!$A:$C,3,FALSE),""),IF($C37="Vendor_B",IFERROR(VLOOKUP($A37,Vendor_B!$A:$C,3,FALSE),""),IF($C37="Vendor_C",IFERROR(VLOOKUP($A37,Vendor_C!$A:$C,3,FALSE),""),""))))</f>
      </c>
      <c r="G37" s="2">
        <f>IF($A37="","",IF($F37="","",$E37*$F37))</f>
      </c>
    </row>
    <row r="38">
      <c r="B38">
        <f>IF($A38="","",IF($C38="Vendor_A",IFERROR(VLOOKUP($A38,Vendor_A!$A:$C,2,FALSE),"-- not on vendor --"),IF($C38="Vendor_B",IFERROR(VLOOKUP($A38,Vendor_B!$A:$C,2,FALSE),"-- not on vendor --"),IF($C38="Vendor_C",IFERROR(VLOOKUP($A38,Vendor_C!$A:$C,2,FALSE),"-- not on vendor --"),"-- not on vendor --"))))</f>
      </c>
      <c r="E38">
        <f>IF($A38="","",$D38*$I$2)</f>
      </c>
      <c r="F38" s="2">
        <f>IF($A38="","",IF($C38="Vendor_A",IFERROR(VLOOKUP($A38,Vendor_A!$A:$C,3,FALSE),""),IF($C38="Vendor_B",IFERROR(VLOOKUP($A38,Vendor_B!$A:$C,3,FALSE),""),IF($C38="Vendor_C",IFERROR(VLOOKUP($A38,Vendor_C!$A:$C,3,FALSE),""),""))))</f>
      </c>
      <c r="G38" s="2">
        <f>IF($A38="","",IF($F38="","",$E38*$F38))</f>
      </c>
    </row>
    <row r="39">
      <c r="B39">
        <f>IF($A39="","",IF($C39="Vendor_A",IFERROR(VLOOKUP($A39,Vendor_A!$A:$C,2,FALSE),"-- not on vendor --"),IF($C39="Vendor_B",IFERROR(VLOOKUP($A39,Vendor_B!$A:$C,2,FALSE),"-- not on vendor --"),IF($C39="Vendor_C",IFERROR(VLOOKUP($A39,Vendor_C!$A:$C,2,FALSE),"-- not on vendor --"),"-- not on vendor --"))))</f>
      </c>
      <c r="E39">
        <f>IF($A39="","",$D39*$I$2)</f>
      </c>
      <c r="F39" s="2">
        <f>IF($A39="","",IF($C39="Vendor_A",IFERROR(VLOOKUP($A39,Vendor_A!$A:$C,3,FALSE),""),IF($C39="Vendor_B",IFERROR(VLOOKUP($A39,Vendor_B!$A:$C,3,FALSE),""),IF($C39="Vendor_C",IFERROR(VLOOKUP($A39,Vendor_C!$A:$C,3,FALSE),""),""))))</f>
      </c>
      <c r="G39" s="2">
        <f>IF($A39="","",IF($F39="","",$E39*$F39))</f>
      </c>
    </row>
    <row r="40">
      <c r="B40">
        <f>IF($A40="","",IF($C40="Vendor_A",IFERROR(VLOOKUP($A40,Vendor_A!$A:$C,2,FALSE),"-- not on vendor --"),IF($C40="Vendor_B",IFERROR(VLOOKUP($A40,Vendor_B!$A:$C,2,FALSE),"-- not on vendor --"),IF($C40="Vendor_C",IFERROR(VLOOKUP($A40,Vendor_C!$A:$C,2,FALSE),"-- not on vendor --"),"-- not on vendor --"))))</f>
      </c>
      <c r="E40">
        <f>IF($A40="","",$D40*$I$2)</f>
      </c>
      <c r="F40" s="2">
        <f>IF($A40="","",IF($C40="Vendor_A",IFERROR(VLOOKUP($A40,Vendor_A!$A:$C,3,FALSE),""),IF($C40="Vendor_B",IFERROR(VLOOKUP($A40,Vendor_B!$A:$C,3,FALSE),""),IF($C40="Vendor_C",IFERROR(VLOOKUP($A40,Vendor_C!$A:$C,3,FALSE),""),""))))</f>
      </c>
      <c r="G40" s="2">
        <f>IF($A40="","",IF($F40="","",$E40*$F40))</f>
      </c>
    </row>
  </sheetData>
  <mergeCells count="1">
    <mergeCell ref="K1:N3"/>
  </mergeCells>
  <dataValidations count="1">
    <dataValidation sqref="C2:C40" showDropDown="0" showInputMessage="0" showErrorMessage="1" allowBlank="1" errorTitle="Invalid vendor" error="Choose Vendor_A, Vendor_B, or Vendor_C." type="list">
      <formula1>"Vendor_A,Vendor_B,Vendor_C"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2026-05-07T15:05:22Z</dcterms:created>
  <dcterms:modified xmlns:dcterms="http://purl.org/dc/terms/" xmlns:xsi="http://www.w3.org/2001/XMLSchema-instance" xsi:type="dcterms:W3CDTF">2026-05-07T15:05:22Z</dcterms:modified>
</cp:coreProperties>
</file>