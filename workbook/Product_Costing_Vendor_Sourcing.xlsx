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ndor_A" sheetId="1" state="visible" r:id="rId1"/>
    <sheet xmlns:r="http://schemas.openxmlformats.org/officeDocument/2006/relationships" name="Vendor_B" sheetId="2" state="visible" r:id="rId2"/>
    <sheet xmlns:r="http://schemas.openxmlformats.org/officeDocument/2006/relationships" name="Vendor_C" sheetId="3" state="visible" r:id="rId3"/>
    <sheet xmlns:r="http://schemas.openxmlformats.org/officeDocument/2006/relationships" name="Product_BO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blVendorA" displayName="tblVendorA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VendorB" displayName="tblVendorB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VendorC" displayName="tblVendorC" ref="A1:C6" headerRowCount="1">
  <autoFilter ref="A1:C6"/>
  <tableColumns count="3">
    <tableColumn id="1" name="Part_ID"/>
    <tableColumn id="2" name="Part_Name"/>
    <tableColumn id="3" name="Unit_Pri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BOM" displayName="tblBOM" ref="A1:G40" headerRowCount="1">
  <autoFilter ref="A1:G40"/>
  <tableColumns count="7">
    <tableColumn id="1" name="Part_ID"/>
    <tableColumn id="2" name="Part_Name"/>
    <tableColumn id="3" name="Vendor"/>
    <tableColumn id="4" name="Qty_Per_Product"/>
    <tableColumn id="5" name="Total_Qty"/>
    <tableColumn id="6" name="Unit_Price"/>
    <tableColumn id="7" name="Total_Cost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24.5</v>
      </c>
    </row>
    <row r="3">
      <c r="A3" t="inlineStr">
        <is>
          <t>P002</t>
        </is>
      </c>
      <c r="B3" t="inlineStr">
        <is>
          <t>Main PCB rev C</t>
        </is>
      </c>
      <c r="C3" s="2" t="n">
        <v>18</v>
      </c>
    </row>
    <row r="4">
      <c r="A4" t="inlineStr">
        <is>
          <t>P003</t>
        </is>
      </c>
      <c r="B4" t="inlineStr">
        <is>
          <t>M3x12 screw (100 pk)</t>
        </is>
      </c>
      <c r="C4" s="2" t="n">
        <v>4.2</v>
      </c>
    </row>
    <row r="5">
      <c r="A5" t="inlineStr">
        <is>
          <t>P004</t>
        </is>
      </c>
      <c r="B5" t="inlineStr">
        <is>
          <t>Aluminum bracket</t>
        </is>
      </c>
      <c r="C5" s="2" t="n">
        <v>6.75</v>
      </c>
    </row>
    <row r="6">
      <c r="A6" t="inlineStr">
        <is>
          <t>P005</t>
        </is>
      </c>
      <c r="B6" t="inlineStr">
        <is>
          <t>Power cable 1m</t>
        </is>
      </c>
      <c r="C6" s="2" t="n">
        <v>3.1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22.9</v>
      </c>
    </row>
    <row r="3">
      <c r="A3" t="inlineStr">
        <is>
          <t>P002</t>
        </is>
      </c>
      <c r="B3" t="inlineStr">
        <is>
          <t>Main PCB rev C</t>
        </is>
      </c>
      <c r="C3" s="2" t="n">
        <v>19.5</v>
      </c>
    </row>
    <row r="4">
      <c r="A4" t="inlineStr">
        <is>
          <t>P006</t>
        </is>
      </c>
      <c r="B4" t="inlineStr">
        <is>
          <t>Timing belt GT2 1m</t>
        </is>
      </c>
      <c r="C4" s="2" t="n">
        <v>7.4</v>
      </c>
    </row>
    <row r="5">
      <c r="A5" t="inlineStr">
        <is>
          <t>P007</t>
        </is>
      </c>
      <c r="B5" t="inlineStr">
        <is>
          <t>Idler pulley</t>
        </is>
      </c>
      <c r="C5" s="2" t="n">
        <v>2.15</v>
      </c>
    </row>
    <row r="6">
      <c r="A6" t="inlineStr">
        <is>
          <t>P008</t>
        </is>
      </c>
      <c r="B6" t="inlineStr">
        <is>
          <t>Rubber feet (set)</t>
        </is>
      </c>
      <c r="C6" s="2" t="n">
        <v>1.8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Unit_Price</t>
        </is>
      </c>
    </row>
    <row r="2">
      <c r="A2" t="inlineStr">
        <is>
          <t>P001</t>
        </is>
      </c>
      <c r="B2" t="inlineStr">
        <is>
          <t>Stepper motor NEMA 17</t>
        </is>
      </c>
      <c r="C2" s="2" t="n">
        <v>26</v>
      </c>
    </row>
    <row r="3">
      <c r="A3" t="inlineStr">
        <is>
          <t>P003</t>
        </is>
      </c>
      <c r="B3" t="inlineStr">
        <is>
          <t>M3x12 screw (100 pk)</t>
        </is>
      </c>
      <c r="C3" s="2" t="n">
        <v>3.95</v>
      </c>
    </row>
    <row r="4">
      <c r="A4" t="inlineStr">
        <is>
          <t>P009</t>
        </is>
      </c>
      <c r="B4" t="inlineStr">
        <is>
          <t>USB-C breakout</t>
        </is>
      </c>
      <c r="C4" s="2" t="n">
        <v>5.5</v>
      </c>
    </row>
    <row r="5">
      <c r="A5" t="inlineStr">
        <is>
          <t>P010</t>
        </is>
      </c>
      <c r="B5" t="inlineStr">
        <is>
          <t>Heat-set inserts M3 (50)</t>
        </is>
      </c>
      <c r="C5" s="2" t="n">
        <v>8.25</v>
      </c>
    </row>
    <row r="6">
      <c r="A6" t="inlineStr">
        <is>
          <t>P011</t>
        </is>
      </c>
      <c r="B6" t="inlineStr">
        <is>
          <t>Acrylic panel 3mm</t>
        </is>
      </c>
      <c r="C6" s="2" t="n">
        <v>12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8" customWidth="1" min="4" max="4"/>
    <col width="14" customWidth="1" min="5" max="5"/>
    <col width="14" customWidth="1" min="6" max="6"/>
    <col width="14" customWidth="1" min="7" max="7"/>
    <col width="16" customWidth="1" min="9" max="9"/>
  </cols>
  <sheetData>
    <row r="1">
      <c r="A1" s="1" t="inlineStr">
        <is>
          <t>Part_ID</t>
        </is>
      </c>
      <c r="B1" s="1" t="inlineStr">
        <is>
          <t>Part_Name</t>
        </is>
      </c>
      <c r="C1" s="1" t="inlineStr">
        <is>
          <t>Vendor</t>
        </is>
      </c>
      <c r="D1" s="1" t="inlineStr">
        <is>
          <t>Qty_Per_Product</t>
        </is>
      </c>
      <c r="E1" s="1" t="inlineStr">
        <is>
          <t>Total_Qty</t>
        </is>
      </c>
      <c r="F1" s="1" t="inlineStr">
        <is>
          <t>Unit_Price</t>
        </is>
      </c>
      <c r="G1" s="1" t="inlineStr">
        <is>
          <t>Total_Cost</t>
        </is>
      </c>
      <c r="I1" s="3" t="inlineStr">
        <is>
          <t>Units_to_build</t>
        </is>
      </c>
      <c r="K1" s="4" t="inlineStr">
        <is>
          <t>Set Units_to_build in I2. Add BOM lines inside the table only. Pick vendor in column C; unit price pulls from that vendor sheet by Part_ID.</t>
        </is>
      </c>
    </row>
    <row r="2">
      <c r="A2" t="inlineStr">
        <is>
          <t>P001</t>
        </is>
      </c>
      <c r="B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2" t="inlineStr">
        <is>
          <t>Vendor_A</t>
        </is>
      </c>
      <c r="D2" t="n">
        <v>2</v>
      </c>
      <c r="E2">
        <f>[@[Qty_Per_Product]]*$I$2</f>
        <v/>
      </c>
      <c r="F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" s="2">
        <f>IF([@Part_ID]="","",IF([@Unit_Price]="","",[@Total_Qty]*[@Unit_Price]))</f>
        <v/>
      </c>
      <c r="I2" s="5" t="n">
        <v>1</v>
      </c>
    </row>
    <row r="3">
      <c r="A3" t="inlineStr">
        <is>
          <t>P002</t>
        </is>
      </c>
      <c r="B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3" t="inlineStr">
        <is>
          <t>Vendor_B</t>
        </is>
      </c>
      <c r="D3" t="n">
        <v>1</v>
      </c>
      <c r="E3">
        <f>[@[Qty_Per_Product]]*$I$2</f>
        <v/>
      </c>
      <c r="F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" s="2">
        <f>IF([@Part_ID]="","",IF([@Unit_Price]="","",[@Total_Qty]*[@Unit_Price]))</f>
        <v/>
      </c>
    </row>
    <row r="4">
      <c r="A4" t="inlineStr">
        <is>
          <t>P003</t>
        </is>
      </c>
      <c r="B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4" t="inlineStr">
        <is>
          <t>Vendor_C</t>
        </is>
      </c>
      <c r="D4" t="n">
        <v>4</v>
      </c>
      <c r="E4">
        <f>[@[Qty_Per_Product]]*$I$2</f>
        <v/>
      </c>
      <c r="F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4" s="2">
        <f>IF([@Part_ID]="","",IF([@Unit_Price]="","",[@Total_Qty]*[@Unit_Price]))</f>
        <v/>
      </c>
    </row>
    <row r="5">
      <c r="A5" t="inlineStr">
        <is>
          <t>P006</t>
        </is>
      </c>
      <c r="B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C5" t="inlineStr">
        <is>
          <t>Vendor_B</t>
        </is>
      </c>
      <c r="D5" t="n">
        <v>1</v>
      </c>
      <c r="E5">
        <f>[@[Qty_Per_Product]]*$I$2</f>
        <v/>
      </c>
      <c r="F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5" s="2">
        <f>IF([@Part_ID]="","",IF([@Unit_Price]="","",[@Total_Qty]*[@Unit_Price]))</f>
        <v/>
      </c>
    </row>
    <row r="6">
      <c r="B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6">
        <f>[@[Qty_Per_Product]]*$I$2</f>
        <v/>
      </c>
      <c r="F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6" s="2">
        <f>IF([@Part_ID]="","",IF([@Unit_Price]="","",[@Total_Qty]*[@Unit_Price]))</f>
        <v/>
      </c>
    </row>
    <row r="7">
      <c r="B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7">
        <f>[@[Qty_Per_Product]]*$I$2</f>
        <v/>
      </c>
      <c r="F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7" s="2">
        <f>IF([@Part_ID]="","",IF([@Unit_Price]="","",[@Total_Qty]*[@Unit_Price]))</f>
        <v/>
      </c>
    </row>
    <row r="8">
      <c r="B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8">
        <f>[@[Qty_Per_Product]]*$I$2</f>
        <v/>
      </c>
      <c r="F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8" s="2">
        <f>IF([@Part_ID]="","",IF([@Unit_Price]="","",[@Total_Qty]*[@Unit_Price]))</f>
        <v/>
      </c>
    </row>
    <row r="9">
      <c r="B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9">
        <f>[@[Qty_Per_Product]]*$I$2</f>
        <v/>
      </c>
      <c r="F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9" s="2">
        <f>IF([@Part_ID]="","",IF([@Unit_Price]="","",[@Total_Qty]*[@Unit_Price]))</f>
        <v/>
      </c>
    </row>
    <row r="10">
      <c r="B1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0">
        <f>[@[Qty_Per_Product]]*$I$2</f>
        <v/>
      </c>
      <c r="F1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0" s="2">
        <f>IF([@Part_ID]="","",IF([@Unit_Price]="","",[@Total_Qty]*[@Unit_Price]))</f>
        <v/>
      </c>
    </row>
    <row r="11">
      <c r="B1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1">
        <f>[@[Qty_Per_Product]]*$I$2</f>
        <v/>
      </c>
      <c r="F1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1" s="2">
        <f>IF([@Part_ID]="","",IF([@Unit_Price]="","",[@Total_Qty]*[@Unit_Price]))</f>
        <v/>
      </c>
    </row>
    <row r="12">
      <c r="B1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2">
        <f>[@[Qty_Per_Product]]*$I$2</f>
        <v/>
      </c>
      <c r="F1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2" s="2">
        <f>IF([@Part_ID]="","",IF([@Unit_Price]="","",[@Total_Qty]*[@Unit_Price]))</f>
        <v/>
      </c>
    </row>
    <row r="13">
      <c r="B1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3">
        <f>[@[Qty_Per_Product]]*$I$2</f>
        <v/>
      </c>
      <c r="F1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3" s="2">
        <f>IF([@Part_ID]="","",IF([@Unit_Price]="","",[@Total_Qty]*[@Unit_Price]))</f>
        <v/>
      </c>
    </row>
    <row r="14">
      <c r="B1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4">
        <f>[@[Qty_Per_Product]]*$I$2</f>
        <v/>
      </c>
      <c r="F1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4" s="2">
        <f>IF([@Part_ID]="","",IF([@Unit_Price]="","",[@Total_Qty]*[@Unit_Price]))</f>
        <v/>
      </c>
    </row>
    <row r="15">
      <c r="B1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5">
        <f>[@[Qty_Per_Product]]*$I$2</f>
        <v/>
      </c>
      <c r="F1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5" s="2">
        <f>IF([@Part_ID]="","",IF([@Unit_Price]="","",[@Total_Qty]*[@Unit_Price]))</f>
        <v/>
      </c>
    </row>
    <row r="16">
      <c r="B1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6">
        <f>[@[Qty_Per_Product]]*$I$2</f>
        <v/>
      </c>
      <c r="F1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6" s="2">
        <f>IF([@Part_ID]="","",IF([@Unit_Price]="","",[@Total_Qty]*[@Unit_Price]))</f>
        <v/>
      </c>
    </row>
    <row r="17">
      <c r="B1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7">
        <f>[@[Qty_Per_Product]]*$I$2</f>
        <v/>
      </c>
      <c r="F1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7" s="2">
        <f>IF([@Part_ID]="","",IF([@Unit_Price]="","",[@Total_Qty]*[@Unit_Price]))</f>
        <v/>
      </c>
    </row>
    <row r="18">
      <c r="B1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8">
        <f>[@[Qty_Per_Product]]*$I$2</f>
        <v/>
      </c>
      <c r="F1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8" s="2">
        <f>IF([@Part_ID]="","",IF([@Unit_Price]="","",[@Total_Qty]*[@Unit_Price]))</f>
        <v/>
      </c>
    </row>
    <row r="19">
      <c r="B1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19">
        <f>[@[Qty_Per_Product]]*$I$2</f>
        <v/>
      </c>
      <c r="F1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19" s="2">
        <f>IF([@Part_ID]="","",IF([@Unit_Price]="","",[@Total_Qty]*[@Unit_Price]))</f>
        <v/>
      </c>
    </row>
    <row r="20">
      <c r="B2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0">
        <f>[@[Qty_Per_Product]]*$I$2</f>
        <v/>
      </c>
      <c r="F2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0" s="2">
        <f>IF([@Part_ID]="","",IF([@Unit_Price]="","",[@Total_Qty]*[@Unit_Price]))</f>
        <v/>
      </c>
    </row>
    <row r="21">
      <c r="B2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1">
        <f>[@[Qty_Per_Product]]*$I$2</f>
        <v/>
      </c>
      <c r="F2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1" s="2">
        <f>IF([@Part_ID]="","",IF([@Unit_Price]="","",[@Total_Qty]*[@Unit_Price]))</f>
        <v/>
      </c>
    </row>
    <row r="22">
      <c r="B2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2">
        <f>[@[Qty_Per_Product]]*$I$2</f>
        <v/>
      </c>
      <c r="F2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2" s="2">
        <f>IF([@Part_ID]="","",IF([@Unit_Price]="","",[@Total_Qty]*[@Unit_Price]))</f>
        <v/>
      </c>
    </row>
    <row r="23">
      <c r="B2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3">
        <f>[@[Qty_Per_Product]]*$I$2</f>
        <v/>
      </c>
      <c r="F2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3" s="2">
        <f>IF([@Part_ID]="","",IF([@Unit_Price]="","",[@Total_Qty]*[@Unit_Price]))</f>
        <v/>
      </c>
    </row>
    <row r="24">
      <c r="B2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4">
        <f>[@[Qty_Per_Product]]*$I$2</f>
        <v/>
      </c>
      <c r="F2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4" s="2">
        <f>IF([@Part_ID]="","",IF([@Unit_Price]="","",[@Total_Qty]*[@Unit_Price]))</f>
        <v/>
      </c>
    </row>
    <row r="25">
      <c r="B2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5">
        <f>[@[Qty_Per_Product]]*$I$2</f>
        <v/>
      </c>
      <c r="F2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5" s="2">
        <f>IF([@Part_ID]="","",IF([@Unit_Price]="","",[@Total_Qty]*[@Unit_Price]))</f>
        <v/>
      </c>
    </row>
    <row r="26">
      <c r="B2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6">
        <f>[@[Qty_Per_Product]]*$I$2</f>
        <v/>
      </c>
      <c r="F2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6" s="2">
        <f>IF([@Part_ID]="","",IF([@Unit_Price]="","",[@Total_Qty]*[@Unit_Price]))</f>
        <v/>
      </c>
    </row>
    <row r="27">
      <c r="B2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7">
        <f>[@[Qty_Per_Product]]*$I$2</f>
        <v/>
      </c>
      <c r="F2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7" s="2">
        <f>IF([@Part_ID]="","",IF([@Unit_Price]="","",[@Total_Qty]*[@Unit_Price]))</f>
        <v/>
      </c>
    </row>
    <row r="28">
      <c r="B2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8">
        <f>[@[Qty_Per_Product]]*$I$2</f>
        <v/>
      </c>
      <c r="F2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8" s="2">
        <f>IF([@Part_ID]="","",IF([@Unit_Price]="","",[@Total_Qty]*[@Unit_Price]))</f>
        <v/>
      </c>
    </row>
    <row r="29">
      <c r="B2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29">
        <f>[@[Qty_Per_Product]]*$I$2</f>
        <v/>
      </c>
      <c r="F2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29" s="2">
        <f>IF([@Part_ID]="","",IF([@Unit_Price]="","",[@Total_Qty]*[@Unit_Price]))</f>
        <v/>
      </c>
    </row>
    <row r="30">
      <c r="B3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0">
        <f>[@[Qty_Per_Product]]*$I$2</f>
        <v/>
      </c>
      <c r="F3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0" s="2">
        <f>IF([@Part_ID]="","",IF([@Unit_Price]="","",[@Total_Qty]*[@Unit_Price]))</f>
        <v/>
      </c>
    </row>
    <row r="31">
      <c r="B31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1">
        <f>[@[Qty_Per_Product]]*$I$2</f>
        <v/>
      </c>
      <c r="F31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1" s="2">
        <f>IF([@Part_ID]="","",IF([@Unit_Price]="","",[@Total_Qty]*[@Unit_Price]))</f>
        <v/>
      </c>
    </row>
    <row r="32">
      <c r="B32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2">
        <f>[@[Qty_Per_Product]]*$I$2</f>
        <v/>
      </c>
      <c r="F32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2" s="2">
        <f>IF([@Part_ID]="","",IF([@Unit_Price]="","",[@Total_Qty]*[@Unit_Price]))</f>
        <v/>
      </c>
    </row>
    <row r="33">
      <c r="B33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3">
        <f>[@[Qty_Per_Product]]*$I$2</f>
        <v/>
      </c>
      <c r="F33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3" s="2">
        <f>IF([@Part_ID]="","",IF([@Unit_Price]="","",[@Total_Qty]*[@Unit_Price]))</f>
        <v/>
      </c>
    </row>
    <row r="34">
      <c r="B34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4">
        <f>[@[Qty_Per_Product]]*$I$2</f>
        <v/>
      </c>
      <c r="F34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4" s="2">
        <f>IF([@Part_ID]="","",IF([@Unit_Price]="","",[@Total_Qty]*[@Unit_Price]))</f>
        <v/>
      </c>
    </row>
    <row r="35">
      <c r="B35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5">
        <f>[@[Qty_Per_Product]]*$I$2</f>
        <v/>
      </c>
      <c r="F35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5" s="2">
        <f>IF([@Part_ID]="","",IF([@Unit_Price]="","",[@Total_Qty]*[@Unit_Price]))</f>
        <v/>
      </c>
    </row>
    <row r="36">
      <c r="B36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6">
        <f>[@[Qty_Per_Product]]*$I$2</f>
        <v/>
      </c>
      <c r="F36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6" s="2">
        <f>IF([@Part_ID]="","",IF([@Unit_Price]="","",[@Total_Qty]*[@Unit_Price]))</f>
        <v/>
      </c>
    </row>
    <row r="37">
      <c r="B37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7">
        <f>[@[Qty_Per_Product]]*$I$2</f>
        <v/>
      </c>
      <c r="F37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7" s="2">
        <f>IF([@Part_ID]="","",IF([@Unit_Price]="","",[@Total_Qty]*[@Unit_Price]))</f>
        <v/>
      </c>
    </row>
    <row r="38">
      <c r="B38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8">
        <f>[@[Qty_Per_Product]]*$I$2</f>
        <v/>
      </c>
      <c r="F38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8" s="2">
        <f>IF([@Part_ID]="","",IF([@Unit_Price]="","",[@Total_Qty]*[@Unit_Price]))</f>
        <v/>
      </c>
    </row>
    <row r="39">
      <c r="B39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39">
        <f>[@[Qty_Per_Product]]*$I$2</f>
        <v/>
      </c>
      <c r="F39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39" s="2">
        <f>IF([@Part_ID]="","",IF([@Unit_Price]="","",[@Total_Qty]*[@Unit_Price]))</f>
        <v/>
      </c>
    </row>
    <row r="40">
      <c r="B40">
        <f>IF([@Part_ID]="","",IFNA(SWITCH([@Vendor],"Vendor_A",XLOOKUP([@Part_ID],tblVendorA[Part_ID],tblVendorA[Part_Name]),"Vendor_B",XLOOKUP([@Part_ID],tblVendorB[Part_ID],tblVendorB[Part_Name]),"Vendor_C",XLOOKUP([@Part_ID],tblVendorC[Part_ID],tblVendorC[Part_Name])),"— not on vendor —"))</f>
        <v/>
      </c>
      <c r="E40">
        <f>[@[Qty_Per_Product]]*$I$2</f>
        <v/>
      </c>
      <c r="F40" s="2">
        <f>IF([@Part_ID]="","",IFNA(SWITCH([@Vendor],"Vendor_A",XLOOKUP([@Part_ID],tblVendorA[Part_ID],tblVendorA[Unit_Price]),"Vendor_B",XLOOKUP([@Part_ID],tblVendorB[Part_ID],tblVendorB[Unit_Price]),"Vendor_C",XLOOKUP([@Part_ID],tblVendorC[Part_ID],tblVendorC[Unit_Price])),""))</f>
        <v/>
      </c>
      <c r="G40" s="2">
        <f>IF([@Part_ID]="","",IF([@Unit_Price]="","",[@Total_Qty]*[@Unit_Price]))</f>
        <v/>
      </c>
    </row>
  </sheetData>
  <mergeCells count="1">
    <mergeCell ref="K1:N3"/>
  </mergeCells>
  <dataValidations count="1">
    <dataValidation sqref="C2:C40" showDropDown="0" showInputMessage="0" showErrorMessage="1" allowBlank="1" errorTitle="Invalid vendor" error="Choose Vendor_A, Vendor_B, or Vendor_C." type="list">
      <formula1>"Vendor_A,Vendor_B,Vendor_C"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2026-05-02T04:41:16Z</dcterms:created>
  <dcterms:modified xmlns:dcterms="http://purl.org/dc/terms/" xmlns:xsi="http://www.w3.org/2001/XMLSchema-instance" xsi:type="dcterms:W3CDTF">2026-05-02T04:41:16Z</dcterms:modified>
</cp:coreProperties>
</file>